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8FC36AD1-8078-4422-9F26-DE30F00B69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Planilha1!$D$20:$D$20</definedName>
    <definedName name="patrimonio">Planilha1!$D$23:$D$23</definedName>
    <definedName name="qtd_anos">Planilha1!$D$21:$D$21</definedName>
    <definedName name="rendimento_carteira">Planilha1!$D$16:$D$16</definedName>
    <definedName name="salario">Planilha1!$D$15:$D$15</definedName>
    <definedName name="sugestao_investimento">Planilha1!$D$17:$D$17</definedName>
    <definedName name="taxa_mensal">Planilha1!$D$22:$D$22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37" i="1"/>
  <c r="B10" i="2"/>
  <c r="B11" i="2"/>
  <c r="B12" i="2"/>
  <c r="B13" i="2"/>
  <c r="B14" i="2"/>
  <c r="B15" i="2"/>
  <c r="B16" i="2"/>
  <c r="B17" i="2"/>
  <c r="B18" i="2"/>
  <c r="B19" i="2"/>
  <c r="B20" i="2"/>
  <c r="B21" i="2"/>
  <c r="B5" i="2"/>
  <c r="B6" i="2"/>
  <c r="B7" i="2"/>
  <c r="B8" i="2"/>
  <c r="B9" i="2"/>
  <c r="B4" i="2"/>
  <c r="C34" i="1" a="1"/>
  <c r="C34" i="1"/>
  <c r="D17" i="1" a="1"/>
  <c r="D17" i="1"/>
  <c r="D23" i="1" a="1"/>
  <c r="D23" i="1"/>
  <c r="D24" i="1" s="1" a="1"/>
  <c r="D24" i="1" s="1"/>
  <c r="C28" i="1"/>
  <c r="D28" i="1" s="1" a="1"/>
  <c r="D28" i="1" s="1"/>
  <c r="C29" i="1"/>
  <c r="D29" i="1" s="1" a="1"/>
  <c r="D29" i="1" s="1"/>
  <c r="C30" i="1"/>
  <c r="D30" i="1" s="1" a="1"/>
  <c r="D30" i="1" s="1"/>
  <c r="C31" i="1"/>
  <c r="D31" i="1" s="1" a="1"/>
  <c r="D31" i="1" s="1"/>
  <c r="C27" i="1"/>
  <c r="D27" i="1" s="1" a="1"/>
  <c r="D27" i="1" s="1"/>
  <c r="D37" i="1" l="1"/>
  <c r="D38" i="1"/>
  <c r="D39" i="1"/>
  <c r="D40" i="1"/>
  <c r="D41" i="1"/>
  <c r="D42" i="1"/>
  <c r="D4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<sst xmlns="http://schemas.openxmlformats.org/spreadsheetml/2006/main" count="70" uniqueCount="34">
  <si>
    <t>CONFIGURAÇÕES</t>
  </si>
  <si>
    <t>Salário</t>
  </si>
  <si>
    <t>Rendimento em Carteira</t>
  </si>
  <si>
    <t>Sugestão de Investimento</t>
  </si>
  <si>
    <t>INVESTIMENTO MENSAL</t>
  </si>
  <si>
    <t>Quanto investir por mês?</t>
  </si>
  <si>
    <t xml:space="preserve"> Por quantos anos?</t>
  </si>
  <si>
    <t>Taxa de rendimento mensal?</t>
  </si>
  <si>
    <t>Patrimonio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</si>
  <si>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</si>
  <si>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</si>
  <si>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</si>
  <si>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</si>
  <si>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</si>
  <si>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</si>
  <si>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</si>
  <si>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</si>
  <si>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</si>
  <si>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</si>
  <si>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</si>
  <si>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</si>
  <si>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</si>
  <si>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</si>
  <si>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</si>
  <si>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</si>
  <si>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</si>
  <si>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</t>
  </si>
  <si>
    <t>Desenvolvimento</t>
  </si>
  <si>
    <t>Hotelaria</t>
  </si>
  <si>
    <t>TOTAL</t>
  </si>
  <si>
    <t>CHAVE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</si>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</sst>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7" formatCode="&quot;R$&quot;\ #,##0.00"/>
  </numFmts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EDB4A1"/>
      <name val="Calibri"/>
      <family val="2"/>
      <scheme val="minor"/>
    </font>
    <font>
      <b/>
      <sz val="16"/>
      <color rgb="FFEDB4A1"/>
      <name val="Calibri"/>
      <family val="2"/>
      <scheme val="minor"/>
    </font>
    <font>
      <b/>
      <sz val="14"/>
      <color rgb="FFEDB4A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2137"/>
        <bgColor indexed="64"/>
      </patternFill>
    </fill>
    <fill>
      <patternFill patternType="solid">
        <fgColor rgb="FF7644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rgb="FF2C2137"/>
      </left>
      <right/>
      <top style="medium">
        <color rgb="FF2C2137"/>
      </top>
      <bottom/>
      <diagonal/>
    </border>
    <border>
      <left style="medium">
        <color rgb="FF2C2137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2C2137"/>
      </left>
      <right style="thin">
        <color theme="0" tint="-0.249977111117893"/>
      </right>
      <top style="thin">
        <color theme="0" tint="-0.249977111117893"/>
      </top>
      <bottom style="medium">
        <color rgb="FF2C2137"/>
      </bottom>
      <diagonal/>
    </border>
    <border>
      <left style="medium">
        <color rgb="FF2C2137"/>
      </left>
      <right/>
      <top style="medium">
        <color rgb="FF2C2137"/>
      </top>
      <bottom style="medium">
        <color rgb="FF2C2137"/>
      </bottom>
      <diagonal/>
    </border>
    <border>
      <left/>
      <right style="medium">
        <color rgb="FF2C2137"/>
      </right>
      <top style="medium">
        <color rgb="FF2C2137"/>
      </top>
      <bottom style="medium">
        <color rgb="FF2C2137"/>
      </bottom>
      <diagonal/>
    </border>
    <border>
      <left/>
      <right/>
      <top style="medium">
        <color rgb="FF2C2137"/>
      </top>
      <bottom style="medium">
        <color rgb="FF2C2137"/>
      </bottom>
      <diagonal/>
    </border>
    <border>
      <left/>
      <right/>
      <top style="medium">
        <color rgb="FF2C2137"/>
      </top>
      <bottom/>
      <diagonal/>
    </border>
    <border>
      <left style="medium">
        <color rgb="FF2C2137"/>
      </left>
      <right style="medium">
        <color rgb="FF2C2137"/>
      </right>
      <top style="medium">
        <color rgb="FF2C2137"/>
      </top>
      <bottom/>
      <diagonal/>
    </border>
    <border>
      <left style="medium">
        <color rgb="FF2C2137"/>
      </left>
      <right style="thin">
        <color theme="0" tint="-0.249977111117893"/>
      </right>
      <top style="medium">
        <color rgb="FF2C2137"/>
      </top>
      <bottom style="thin">
        <color theme="0" tint="-0.249977111117893"/>
      </bottom>
      <diagonal/>
    </border>
    <border>
      <left style="medium">
        <color rgb="FF764462"/>
      </left>
      <right/>
      <top style="medium">
        <color rgb="FF764462"/>
      </top>
      <bottom style="medium">
        <color rgb="FF764462"/>
      </bottom>
      <diagonal/>
    </border>
    <border>
      <left/>
      <right style="medium">
        <color rgb="FF764462"/>
      </right>
      <top style="medium">
        <color rgb="FF764462"/>
      </top>
      <bottom style="medium">
        <color rgb="FF764462"/>
      </bottom>
      <diagonal/>
    </border>
    <border>
      <left style="medium">
        <color rgb="FF764462"/>
      </left>
      <right style="medium">
        <color rgb="FF764462"/>
      </right>
      <top style="medium">
        <color rgb="FF764462"/>
      </top>
      <bottom style="thin">
        <color theme="0" tint="-0.249977111117893"/>
      </bottom>
      <diagonal/>
    </border>
    <border>
      <left style="medium">
        <color rgb="FF764462"/>
      </left>
      <right style="medium">
        <color rgb="FF76446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764462"/>
      </left>
      <right style="medium">
        <color rgb="FF764462"/>
      </right>
      <top style="thin">
        <color theme="0" tint="-0.249977111117893"/>
      </top>
      <bottom style="medium">
        <color rgb="FF764462"/>
      </bottom>
      <diagonal/>
    </border>
    <border>
      <left style="medium">
        <color rgb="FF2C2137"/>
      </left>
      <right style="medium">
        <color rgb="FF2C2137"/>
      </right>
      <top style="medium">
        <color rgb="FF2C2137"/>
      </top>
      <bottom style="thin">
        <color theme="0" tint="-0.249977111117893"/>
      </bottom>
      <diagonal/>
    </border>
    <border>
      <left style="medium">
        <color rgb="FF2C2137"/>
      </left>
      <right style="medium">
        <color rgb="FF2C2137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2C2137"/>
      </left>
      <right style="medium">
        <color rgb="FF2C2137"/>
      </right>
      <top style="thin">
        <color theme="0" tint="-0.249977111117893"/>
      </top>
      <bottom style="medium">
        <color rgb="FF2C2137"/>
      </bottom>
      <diagonal/>
    </border>
    <border>
      <left style="thin">
        <color theme="0" tint="-0.249977111117893"/>
      </left>
      <right/>
      <top style="medium">
        <color rgb="FF2C2137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rgb="FF2C2137"/>
      </bottom>
      <diagonal/>
    </border>
    <border>
      <left style="medium">
        <color rgb="FF764462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764462"/>
      </right>
      <top/>
      <bottom style="thin">
        <color theme="2" tint="-0.249977111117893"/>
      </bottom>
      <diagonal/>
    </border>
    <border>
      <left style="medium">
        <color rgb="FF7644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764462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764462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medium">
        <color rgb="FF764462"/>
      </right>
      <top style="thin">
        <color theme="2" tint="-0.249977111117893"/>
      </top>
      <bottom/>
      <diagonal/>
    </border>
    <border>
      <left style="medium">
        <color rgb="FF2C2137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2C2137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764462"/>
      </left>
      <right style="thin">
        <color theme="2" tint="-0.249977111117893"/>
      </right>
      <top style="medium">
        <color rgb="FF764462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764462"/>
      </right>
      <top style="medium">
        <color rgb="FF764462"/>
      </top>
      <bottom style="thin">
        <color theme="2" tint="-0.249977111117893"/>
      </bottom>
      <diagonal/>
    </border>
    <border>
      <left style="medium">
        <color rgb="FF764462"/>
      </left>
      <right style="thin">
        <color theme="2" tint="-0.249977111117893"/>
      </right>
      <top style="thin">
        <color theme="2" tint="-0.249977111117893"/>
      </top>
      <bottom style="medium">
        <color rgb="FF764462"/>
      </bottom>
      <diagonal/>
    </border>
    <border>
      <left style="thin">
        <color theme="2" tint="-0.249977111117893"/>
      </left>
      <right style="medium">
        <color rgb="FF764462"/>
      </right>
      <top style="thin">
        <color theme="2" tint="-0.249977111117893"/>
      </top>
      <bottom style="medium">
        <color rgb="FF764462"/>
      </bottom>
      <diagonal/>
    </border>
    <border>
      <left style="medium">
        <color rgb="FF2C2137"/>
      </left>
      <right style="thin">
        <color theme="2" tint="-0.249977111117893"/>
      </right>
      <top style="medium">
        <color rgb="FF2C2137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2C2137"/>
      </right>
      <top style="medium">
        <color rgb="FF2C2137"/>
      </top>
      <bottom style="thin">
        <color theme="2" tint="-0.249977111117893"/>
      </bottom>
      <diagonal/>
    </border>
    <border>
      <left style="medium">
        <color rgb="FF2C2137"/>
      </left>
      <right style="thin">
        <color theme="2" tint="-0.249977111117893"/>
      </right>
      <top style="thin">
        <color theme="2" tint="-0.249977111117893"/>
      </top>
      <bottom style="medium">
        <color rgb="FF2C2137"/>
      </bottom>
      <diagonal/>
    </border>
    <border>
      <left style="thin">
        <color theme="2" tint="-0.249977111117893"/>
      </left>
      <right style="medium">
        <color rgb="FF2C2137"/>
      </right>
      <top style="thin">
        <color theme="2" tint="-0.249977111117893"/>
      </top>
      <bottom style="medium">
        <color rgb="FF2C2137"/>
      </bottom>
      <diagonal/>
    </border>
    <border>
      <left/>
      <right/>
      <top style="medium">
        <color rgb="FF764462"/>
      </top>
      <bottom style="medium">
        <color rgb="FF764462"/>
      </bottom>
      <diagonal/>
    </border>
    <border>
      <left/>
      <right/>
      <top/>
      <bottom style="medium">
        <color rgb="FF76446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rgb="FF764462"/>
      </left>
      <right style="thin">
        <color theme="2" tint="-0.499984740745262"/>
      </right>
      <top/>
      <bottom style="medium">
        <color rgb="FF7644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rgb="FF764462"/>
      </bottom>
      <diagonal/>
    </border>
    <border>
      <left style="thin">
        <color theme="2" tint="-0.499984740745262"/>
      </left>
      <right style="medium">
        <color rgb="FF764462"/>
      </right>
      <top/>
      <bottom style="medium">
        <color rgb="FF764462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/>
    <xf numFmtId="9" fontId="0" fillId="0" borderId="0" xfId="0" applyNumberFormat="1"/>
    <xf numFmtId="0" fontId="2" fillId="0" borderId="16" xfId="0" applyFont="1" applyBorder="1" applyAlignment="1">
      <alignment horizontal="center"/>
    </xf>
    <xf numFmtId="10" fontId="2" fillId="0" borderId="16" xfId="0" applyNumberFormat="1" applyFont="1" applyBorder="1" applyAlignment="1">
      <alignment horizontal="center"/>
    </xf>
    <xf numFmtId="10" fontId="1" fillId="0" borderId="13" xfId="0" applyNumberFormat="1" applyFont="1" applyBorder="1" applyAlignment="1">
      <alignment horizontal="center"/>
    </xf>
    <xf numFmtId="167" fontId="1" fillId="0" borderId="12" xfId="0" applyNumberFormat="1" applyFont="1" applyBorder="1" applyAlignment="1">
      <alignment horizontal="center"/>
    </xf>
    <xf numFmtId="167" fontId="1" fillId="0" borderId="14" xfId="0" applyNumberFormat="1" applyFont="1" applyBorder="1" applyAlignment="1">
      <alignment horizontal="center"/>
    </xf>
    <xf numFmtId="167" fontId="2" fillId="0" borderId="15" xfId="0" applyNumberFormat="1" applyFont="1" applyBorder="1" applyAlignment="1">
      <alignment horizontal="center"/>
    </xf>
    <xf numFmtId="8" fontId="2" fillId="4" borderId="16" xfId="0" applyNumberFormat="1" applyFont="1" applyFill="1" applyBorder="1" applyAlignment="1">
      <alignment horizontal="center"/>
    </xf>
    <xf numFmtId="8" fontId="2" fillId="4" borderId="17" xfId="0" applyNumberFormat="1" applyFont="1" applyFill="1" applyBorder="1" applyAlignment="1">
      <alignment horizontal="center"/>
    </xf>
    <xf numFmtId="167" fontId="1" fillId="4" borderId="18" xfId="0" applyNumberFormat="1" applyFont="1" applyFill="1" applyBorder="1" applyAlignment="1">
      <alignment horizontal="center"/>
    </xf>
    <xf numFmtId="167" fontId="1" fillId="4" borderId="15" xfId="0" applyNumberFormat="1" applyFont="1" applyFill="1" applyBorder="1" applyAlignment="1">
      <alignment horizontal="center"/>
    </xf>
    <xf numFmtId="167" fontId="1" fillId="4" borderId="19" xfId="0" applyNumberFormat="1" applyFont="1" applyFill="1" applyBorder="1" applyAlignment="1">
      <alignment horizontal="center"/>
    </xf>
    <xf numFmtId="167" fontId="1" fillId="4" borderId="16" xfId="0" applyNumberFormat="1" applyFont="1" applyFill="1" applyBorder="1" applyAlignment="1">
      <alignment horizontal="center"/>
    </xf>
    <xf numFmtId="167" fontId="1" fillId="4" borderId="20" xfId="0" applyNumberFormat="1" applyFont="1" applyFill="1" applyBorder="1" applyAlignment="1">
      <alignment horizontal="center"/>
    </xf>
    <xf numFmtId="167" fontId="1" fillId="4" borderId="17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7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5" fillId="3" borderId="10" xfId="0" applyFont="1" applyFill="1" applyBorder="1" applyAlignment="1">
      <alignment horizontal="left" vertical="center" indent="1"/>
    </xf>
    <xf numFmtId="0" fontId="5" fillId="3" borderId="37" xfId="0" applyFont="1" applyFill="1" applyBorder="1" applyAlignment="1">
      <alignment horizontal="left" vertical="center" indent="1"/>
    </xf>
    <xf numFmtId="0" fontId="5" fillId="3" borderId="11" xfId="0" applyFont="1" applyFill="1" applyBorder="1" applyAlignment="1">
      <alignment horizontal="left" vertical="center" indent="1"/>
    </xf>
    <xf numFmtId="0" fontId="5" fillId="2" borderId="8" xfId="0" applyFont="1" applyFill="1" applyBorder="1" applyAlignment="1">
      <alignment horizontal="left" vertical="center" indent="1"/>
    </xf>
    <xf numFmtId="0" fontId="1" fillId="4" borderId="29" xfId="0" applyFont="1" applyFill="1" applyBorder="1" applyAlignment="1">
      <alignment horizontal="left" indent="1"/>
    </xf>
    <xf numFmtId="0" fontId="1" fillId="4" borderId="30" xfId="0" applyFont="1" applyFill="1" applyBorder="1" applyAlignment="1">
      <alignment horizontal="left" indent="1"/>
    </xf>
    <xf numFmtId="0" fontId="1" fillId="4" borderId="23" xfId="0" applyFont="1" applyFill="1" applyBorder="1" applyAlignment="1">
      <alignment horizontal="left" indent="1"/>
    </xf>
    <xf numFmtId="0" fontId="1" fillId="4" borderId="24" xfId="0" applyFont="1" applyFill="1" applyBorder="1" applyAlignment="1">
      <alignment horizontal="left" indent="1"/>
    </xf>
    <xf numFmtId="0" fontId="1" fillId="4" borderId="31" xfId="0" applyFont="1" applyFill="1" applyBorder="1" applyAlignment="1">
      <alignment horizontal="left" indent="1"/>
    </xf>
    <xf numFmtId="0" fontId="1" fillId="4" borderId="32" xfId="0" applyFont="1" applyFill="1" applyBorder="1" applyAlignment="1">
      <alignment horizontal="left" indent="1"/>
    </xf>
    <xf numFmtId="0" fontId="1" fillId="0" borderId="33" xfId="0" applyFont="1" applyBorder="1" applyAlignment="1">
      <alignment horizontal="left" indent="1"/>
    </xf>
    <xf numFmtId="0" fontId="1" fillId="0" borderId="34" xfId="0" applyFont="1" applyBorder="1" applyAlignment="1">
      <alignment horizontal="left" indent="1"/>
    </xf>
    <xf numFmtId="0" fontId="1" fillId="0" borderId="27" xfId="0" applyFont="1" applyBorder="1" applyAlignment="1">
      <alignment horizontal="left" indent="1"/>
    </xf>
    <xf numFmtId="0" fontId="1" fillId="0" borderId="28" xfId="0" applyFont="1" applyBorder="1" applyAlignment="1">
      <alignment horizontal="left" indent="1"/>
    </xf>
    <xf numFmtId="0" fontId="2" fillId="4" borderId="27" xfId="0" applyFont="1" applyFill="1" applyBorder="1" applyAlignment="1">
      <alignment horizontal="left" indent="1"/>
    </xf>
    <xf numFmtId="0" fontId="2" fillId="4" borderId="28" xfId="0" applyFont="1" applyFill="1" applyBorder="1" applyAlignment="1">
      <alignment horizontal="left" indent="1"/>
    </xf>
    <xf numFmtId="0" fontId="2" fillId="4" borderId="35" xfId="0" applyFont="1" applyFill="1" applyBorder="1" applyAlignment="1">
      <alignment horizontal="left" indent="1"/>
    </xf>
    <xf numFmtId="0" fontId="2" fillId="4" borderId="36" xfId="0" applyFont="1" applyFill="1" applyBorder="1" applyAlignment="1">
      <alignment horizontal="left" indent="1"/>
    </xf>
    <xf numFmtId="0" fontId="1" fillId="4" borderId="9" xfId="0" applyFont="1" applyFill="1" applyBorder="1" applyAlignment="1">
      <alignment horizontal="left" indent="1"/>
    </xf>
    <xf numFmtId="0" fontId="1" fillId="4" borderId="2" xfId="0" applyFont="1" applyFill="1" applyBorder="1" applyAlignment="1">
      <alignment horizontal="left" indent="1"/>
    </xf>
    <xf numFmtId="0" fontId="1" fillId="4" borderId="3" xfId="0" applyFont="1" applyFill="1" applyBorder="1" applyAlignment="1">
      <alignment horizontal="left" indent="1"/>
    </xf>
    <xf numFmtId="0" fontId="0" fillId="0" borderId="0" xfId="0" applyBorder="1"/>
    <xf numFmtId="0" fontId="1" fillId="0" borderId="0" xfId="0" applyFont="1" applyBorder="1"/>
    <xf numFmtId="0" fontId="1" fillId="0" borderId="38" xfId="0" applyFont="1" applyBorder="1"/>
    <xf numFmtId="9" fontId="1" fillId="0" borderId="0" xfId="0" applyNumberFormat="1" applyFont="1" applyBorder="1" applyAlignment="1">
      <alignment horizontal="center"/>
    </xf>
    <xf numFmtId="9" fontId="1" fillId="0" borderId="38" xfId="0" applyNumberFormat="1" applyFont="1" applyBorder="1" applyAlignment="1">
      <alignment horizontal="center"/>
    </xf>
    <xf numFmtId="0" fontId="6" fillId="3" borderId="38" xfId="0" applyFont="1" applyFill="1" applyBorder="1" applyAlignment="1">
      <alignment horizontal="left" indent="1"/>
    </xf>
    <xf numFmtId="0" fontId="6" fillId="3" borderId="38" xfId="0" applyFont="1" applyFill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41" xfId="0" applyNumberFormat="1" applyFont="1" applyBorder="1" applyAlignment="1">
      <alignment horizontal="center"/>
    </xf>
    <xf numFmtId="0" fontId="2" fillId="5" borderId="42" xfId="0" applyFont="1" applyFill="1" applyBorder="1" applyAlignment="1">
      <alignment horizontal="left" indent="1"/>
    </xf>
    <xf numFmtId="167" fontId="2" fillId="5" borderId="43" xfId="0" applyNumberFormat="1" applyFont="1" applyFill="1" applyBorder="1" applyAlignment="1">
      <alignment horizontal="center"/>
    </xf>
    <xf numFmtId="0" fontId="2" fillId="5" borderId="44" xfId="0" applyFont="1" applyFill="1" applyBorder="1"/>
    <xf numFmtId="0" fontId="6" fillId="3" borderId="10" xfId="0" applyFont="1" applyFill="1" applyBorder="1" applyAlignment="1">
      <alignment horizontal="left" indent="1"/>
    </xf>
    <xf numFmtId="0" fontId="6" fillId="3" borderId="37" xfId="0" applyFont="1" applyFill="1" applyBorder="1" applyAlignment="1">
      <alignment horizontal="center"/>
    </xf>
    <xf numFmtId="0" fontId="6" fillId="3" borderId="11" xfId="0" applyFont="1" applyFill="1" applyBorder="1"/>
    <xf numFmtId="0" fontId="1" fillId="0" borderId="21" xfId="0" applyFont="1" applyBorder="1"/>
    <xf numFmtId="167" fontId="1" fillId="4" borderId="22" xfId="0" applyNumberFormat="1" applyFont="1" applyFill="1" applyBorder="1"/>
    <xf numFmtId="0" fontId="1" fillId="0" borderId="23" xfId="0" applyFont="1" applyBorder="1"/>
    <xf numFmtId="167" fontId="1" fillId="4" borderId="24" xfId="0" applyNumberFormat="1" applyFont="1" applyFill="1" applyBorder="1"/>
    <xf numFmtId="0" fontId="1" fillId="0" borderId="25" xfId="0" applyFont="1" applyBorder="1"/>
    <xf numFmtId="167" fontId="1" fillId="4" borderId="26" xfId="0" applyNumberFormat="1" applyFont="1" applyFill="1" applyBorder="1"/>
    <xf numFmtId="0" fontId="6" fillId="3" borderId="37" xfId="0" applyFont="1" applyFill="1" applyBorder="1" applyAlignment="1">
      <alignment horizontal="left" indent="1"/>
    </xf>
    <xf numFmtId="0" fontId="6" fillId="3" borderId="11" xfId="0" applyFont="1" applyFill="1" applyBorder="1" applyAlignment="1">
      <alignment horizontal="left" indent="1"/>
    </xf>
    <xf numFmtId="0" fontId="4" fillId="2" borderId="4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167" fontId="4" fillId="2" borderId="5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764462"/>
      <color rgb="FFF7DCD3"/>
      <color rgb="FFA96868"/>
      <color rgb="FF543D46"/>
      <color rgb="FFD4927A"/>
      <color rgb="FF2C2137"/>
      <color rgb="FFEDB4A1"/>
      <color rgb="FF4B3B4F"/>
      <color rgb="FFBA93AE"/>
      <color rgb="FFD4B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6446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54A-4988-80E4-D3BACAFC14C2}"/>
              </c:ext>
            </c:extLst>
          </c:dPt>
          <c:dPt>
            <c:idx val="1"/>
            <c:bubble3D val="0"/>
            <c:spPr>
              <a:solidFill>
                <a:srgbClr val="543D4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4A-4988-80E4-D3BACAFC14C2}"/>
              </c:ext>
            </c:extLst>
          </c:dPt>
          <c:dPt>
            <c:idx val="2"/>
            <c:bubble3D val="0"/>
            <c:spPr>
              <a:solidFill>
                <a:srgbClr val="F7DCD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4A-4988-80E4-D3BACAFC14C2}"/>
              </c:ext>
            </c:extLst>
          </c:dPt>
          <c:dPt>
            <c:idx val="3"/>
            <c:bubble3D val="0"/>
            <c:spPr>
              <a:solidFill>
                <a:srgbClr val="A9686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4A-4988-80E4-D3BACAFC14C2}"/>
              </c:ext>
            </c:extLst>
          </c:dPt>
          <c:dPt>
            <c:idx val="4"/>
            <c:bubble3D val="0"/>
            <c:spPr>
              <a:solidFill>
                <a:srgbClr val="2C21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04B-41C6-8234-BDDF8068F9A6}"/>
              </c:ext>
            </c:extLst>
          </c:dPt>
          <c:dPt>
            <c:idx val="5"/>
            <c:bubble3D val="0"/>
            <c:spPr>
              <a:solidFill>
                <a:srgbClr val="EDB4A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4B-41C6-8234-BDDF8068F9A6}"/>
              </c:ext>
            </c:extLst>
          </c:dPt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BA-4FE8-8F89-E2071A513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351313969571231E-2"/>
          <c:y val="0.22248853508696026"/>
          <c:w val="0.19471268831122138"/>
          <c:h val="0.450627325430475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43</xdr:row>
      <xdr:rowOff>161925</xdr:rowOff>
    </xdr:from>
    <xdr:to>
      <xdr:col>4</xdr:col>
      <xdr:colOff>19050</xdr:colOff>
      <xdr:row>62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57010-7E82-CBAA-DD3B-0C82E55EE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66675</xdr:colOff>
      <xdr:row>0</xdr:row>
      <xdr:rowOff>104775</xdr:rowOff>
    </xdr:from>
    <xdr:to>
      <xdr:col>3</xdr:col>
      <xdr:colOff>1581150</xdr:colOff>
      <xdr:row>12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6B57E7E-4AC2-71C9-0FF9-FE09D42D3F74}"/>
            </a:ext>
            <a:ext uri="{147F2762-F138-4A5C-976F-8EAC2B608ADB}">
              <a16:predDERef xmlns:a16="http://schemas.microsoft.com/office/drawing/2014/main" pred="{00057010-7E82-CBAA-DD3B-0C82E55EE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97" t="6452" r="1742" b="4839"/>
        <a:stretch>
          <a:fillRect/>
        </a:stretch>
      </xdr:blipFill>
      <xdr:spPr>
        <a:xfrm>
          <a:off x="266700" y="104775"/>
          <a:ext cx="6800850" cy="224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showGridLines="0" tabSelected="1" workbookViewId="0"/>
  </sheetViews>
  <sheetFormatPr defaultColWidth="0" defaultRowHeight="15" zeroHeight="1"/>
  <cols>
    <col min="1" max="1" width="3" bestFit="1" customWidth="1"/>
    <col min="2" max="2" width="41.42578125" customWidth="1"/>
    <col min="3" max="3" width="37.85546875" customWidth="1"/>
    <col min="4" max="4" width="24.85546875" customWidth="1"/>
    <col min="5" max="5" width="3.42578125" customWidth="1"/>
    <col min="6" max="6" width="3" customWidth="1"/>
    <col min="7" max="8" width="3" hidden="1" customWidth="1"/>
    <col min="9" max="9" width="3.5703125" hidden="1" customWidth="1"/>
  </cols>
  <sheetData>
    <row r="1" spans="2:5"/>
    <row r="2" spans="2:5">
      <c r="B2" s="70"/>
      <c r="C2" s="70"/>
      <c r="D2" s="70"/>
      <c r="E2" s="70"/>
    </row>
    <row r="3" spans="2:5"/>
    <row r="4" spans="2:5"/>
    <row r="5" spans="2:5"/>
    <row r="6" spans="2:5"/>
    <row r="7" spans="2:5"/>
    <row r="8" spans="2:5"/>
    <row r="9" spans="2:5"/>
    <row r="10" spans="2:5"/>
    <row r="11" spans="2:5"/>
    <row r="12" spans="2:5"/>
    <row r="13" spans="2:5"/>
    <row r="14" spans="2:5" ht="21">
      <c r="B14" s="22" t="s">
        <v>0</v>
      </c>
      <c r="C14" s="23"/>
      <c r="D14" s="24"/>
    </row>
    <row r="15" spans="2:5" ht="15.75">
      <c r="B15" s="26" t="s">
        <v>1</v>
      </c>
      <c r="C15" s="27"/>
      <c r="D15" s="6">
        <v>4200</v>
      </c>
    </row>
    <row r="16" spans="2:5" ht="15.75">
      <c r="B16" s="28" t="s">
        <v>2</v>
      </c>
      <c r="C16" s="29"/>
      <c r="D16" s="5">
        <v>8.9999999999999993E-3</v>
      </c>
    </row>
    <row r="17" spans="1:13" ht="15.75">
      <c r="B17" s="30" t="s">
        <v>3</v>
      </c>
      <c r="C17" s="31"/>
      <c r="D17" s="7" cm="1">
        <f t="array" ref="D17">salario*30%</f>
        <v>1260</v>
      </c>
    </row>
    <row r="18" spans="1:13" ht="15" customHeight="1"/>
    <row r="19" spans="1:13" ht="23.25" customHeight="1">
      <c r="B19" s="19" t="s">
        <v>4</v>
      </c>
      <c r="C19" s="20"/>
      <c r="D19" s="21"/>
    </row>
    <row r="20" spans="1:13" ht="15.75">
      <c r="B20" s="32" t="s">
        <v>5</v>
      </c>
      <c r="C20" s="33"/>
      <c r="D20" s="8">
        <v>1260</v>
      </c>
    </row>
    <row r="21" spans="1:13" ht="15.75">
      <c r="B21" s="34" t="s">
        <v>6</v>
      </c>
      <c r="C21" s="35"/>
      <c r="D21" s="3">
        <v>5</v>
      </c>
    </row>
    <row r="22" spans="1:13" ht="15.75">
      <c r="B22" s="34" t="s">
        <v>7</v>
      </c>
      <c r="C22" s="35"/>
      <c r="D22" s="4">
        <v>1.0789999999999999E-2</v>
      </c>
      <c r="M22" s="2"/>
    </row>
    <row r="23" spans="1:13" ht="15.75">
      <c r="B23" s="36" t="s">
        <v>8</v>
      </c>
      <c r="C23" s="37"/>
      <c r="D23" s="9" cm="1">
        <f t="array" ref="D23">FV(taxa_mensal,qtd_anos*12,aporte*-1)</f>
        <v>105558.91163809443</v>
      </c>
    </row>
    <row r="24" spans="1:13" ht="15.75">
      <c r="B24" s="38" t="s">
        <v>9</v>
      </c>
      <c r="C24" s="39"/>
      <c r="D24" s="10" cm="1">
        <f t="array" ref="D24">patrimonio*rendimento_carteira</f>
        <v>950.03020474284983</v>
      </c>
    </row>
    <row r="25" spans="1:13"/>
    <row r="26" spans="1:13" ht="21">
      <c r="B26" s="17" t="s">
        <v>10</v>
      </c>
      <c r="C26" s="18"/>
      <c r="D26" s="25" t="s">
        <v>11</v>
      </c>
    </row>
    <row r="27" spans="1:13" ht="15.75">
      <c r="A27" s="1">
        <v>2</v>
      </c>
      <c r="B27" s="40" t="s">
        <v>12</v>
      </c>
      <c r="C27" s="11">
        <f>FV($D$22,$A27*12,$D$20*-1)</f>
        <v>34306.810395032975</v>
      </c>
      <c r="D27" s="12" cm="1">
        <f t="array" ref="D27">C27*rendimento_carteira</f>
        <v>308.76129355529673</v>
      </c>
    </row>
    <row r="28" spans="1:13" ht="15.75">
      <c r="A28" s="1">
        <v>5</v>
      </c>
      <c r="B28" s="41" t="s">
        <v>13</v>
      </c>
      <c r="C28" s="13">
        <f>FV($D$22,$A28*12,$D$20*-1)</f>
        <v>105558.91163809443</v>
      </c>
      <c r="D28" s="14" cm="1">
        <f t="array" ref="D28">C28*rendimento_carteira</f>
        <v>950.03020474284983</v>
      </c>
    </row>
    <row r="29" spans="1:13" ht="15.75">
      <c r="A29" s="1">
        <v>10</v>
      </c>
      <c r="B29" s="41" t="s">
        <v>14</v>
      </c>
      <c r="C29" s="13">
        <f>FV($D$22,$A29*12,$D$20*-1)</f>
        <v>306538.10778801696</v>
      </c>
      <c r="D29" s="14" cm="1">
        <f t="array" ref="D29">C29*rendimento_carteira</f>
        <v>2758.8429700921524</v>
      </c>
    </row>
    <row r="30" spans="1:13" ht="15.75">
      <c r="A30" s="1">
        <v>20</v>
      </c>
      <c r="B30" s="41" t="s">
        <v>15</v>
      </c>
      <c r="C30" s="13">
        <f>FV($D$22,$A30*12,$D$20*-1)</f>
        <v>1417749.9841223215</v>
      </c>
      <c r="D30" s="14" cm="1">
        <f t="array" ref="D30">C30*rendimento_carteira</f>
        <v>12759.749857100893</v>
      </c>
    </row>
    <row r="31" spans="1:13" ht="15.75">
      <c r="A31" s="1">
        <v>30</v>
      </c>
      <c r="B31" s="42" t="s">
        <v>16</v>
      </c>
      <c r="C31" s="15">
        <f>FV($D$22,$A31*12,$D$20*-1)</f>
        <v>5445933.7653059401</v>
      </c>
      <c r="D31" s="16" cm="1">
        <f t="array" ref="D31">C31*rendimento_carteira</f>
        <v>49013.403887753455</v>
      </c>
    </row>
    <row r="32" spans="1:13"/>
    <row r="33" spans="2:6" ht="18.75">
      <c r="B33" s="56" t="s">
        <v>17</v>
      </c>
      <c r="C33" s="57" t="s">
        <v>18</v>
      </c>
      <c r="D33" s="58"/>
    </row>
    <row r="34" spans="2:6" ht="15.75">
      <c r="B34" s="53" t="s">
        <v>19</v>
      </c>
      <c r="C34" s="54" cm="1">
        <f t="array" ref="C34">aporte</f>
        <v>1260</v>
      </c>
      <c r="D34" s="55"/>
    </row>
    <row r="35" spans="2:6"/>
    <row r="36" spans="2:6" ht="18.75">
      <c r="B36" s="56" t="s">
        <v>20</v>
      </c>
      <c r="C36" s="65" t="s">
        <v>21</v>
      </c>
      <c r="D36" s="66" t="s">
        <v>22</v>
      </c>
    </row>
    <row r="37" spans="2:6" ht="15.75">
      <c r="B37" s="59" t="s">
        <v>23</v>
      </c>
      <c r="C37" s="50">
        <f>VLOOKUP($C$33&amp;"-"&amp;B37,Planilha2!$B:$E,4,FALSE)</f>
        <v>0.5</v>
      </c>
      <c r="D37" s="60">
        <f>C37*$C$34</f>
        <v>630</v>
      </c>
    </row>
    <row r="38" spans="2:6" ht="15.75">
      <c r="B38" s="61" t="s">
        <v>24</v>
      </c>
      <c r="C38" s="51">
        <f>VLOOKUP($C$33&amp;"-"&amp;B38,Planilha2!$B:$E,4,FALSE)</f>
        <v>0.1</v>
      </c>
      <c r="D38" s="62">
        <f t="shared" ref="D38:D42" si="0">C38*$C$34</f>
        <v>126</v>
      </c>
    </row>
    <row r="39" spans="2:6" ht="15.75">
      <c r="B39" s="61" t="s">
        <v>25</v>
      </c>
      <c r="C39" s="51">
        <f>VLOOKUP($C$33&amp;"-"&amp;B39,Planilha2!$B:$E,4,FALSE)</f>
        <v>0.05</v>
      </c>
      <c r="D39" s="62">
        <f t="shared" si="0"/>
        <v>63</v>
      </c>
    </row>
    <row r="40" spans="2:6" ht="15.75">
      <c r="B40" s="61" t="s">
        <v>26</v>
      </c>
      <c r="C40" s="51">
        <f>VLOOKUP($C$33&amp;"-"&amp;B40,Planilha2!$B:$E,4,FALSE)</f>
        <v>0.05</v>
      </c>
      <c r="D40" s="62">
        <f t="shared" si="0"/>
        <v>63</v>
      </c>
    </row>
    <row r="41" spans="2:6" ht="15.75">
      <c r="B41" s="61" t="s">
        <v>27</v>
      </c>
      <c r="C41" s="51">
        <f>VLOOKUP($C$33&amp;"-"&amp;B41,Planilha2!$B:$E,4,FALSE)</f>
        <v>0.2</v>
      </c>
      <c r="D41" s="62">
        <f t="shared" si="0"/>
        <v>252</v>
      </c>
    </row>
    <row r="42" spans="2:6" ht="15.75">
      <c r="B42" s="63" t="s">
        <v>28</v>
      </c>
      <c r="C42" s="52">
        <f>VLOOKUP($C$33&amp;"-"&amp;B42,Planilha2!$B:$E,4,FALSE)</f>
        <v>0.1</v>
      </c>
      <c r="D42" s="64">
        <f t="shared" si="0"/>
        <v>126</v>
      </c>
      <c r="F42" s="43"/>
    </row>
    <row r="43" spans="2:6" ht="15.75">
      <c r="B43" s="67" t="s">
        <v>29</v>
      </c>
      <c r="C43" s="68"/>
      <c r="D43" s="69">
        <f>SUM(D37:D42)</f>
        <v>1260</v>
      </c>
    </row>
    <row r="44" spans="2:6"/>
    <row r="45" spans="2:6"/>
    <row r="46" spans="2:6"/>
    <row r="47" spans="2:6"/>
    <row r="48" spans="2:6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mergeCells count="12">
    <mergeCell ref="B24:C24"/>
    <mergeCell ref="B14:D14"/>
    <mergeCell ref="B19:D19"/>
    <mergeCell ref="B43:C43"/>
    <mergeCell ref="B26:C26"/>
    <mergeCell ref="B15:C15"/>
    <mergeCell ref="B16:C16"/>
    <mergeCell ref="B17:C17"/>
    <mergeCell ref="B20:C20"/>
    <mergeCell ref="B21:C21"/>
    <mergeCell ref="B22:C22"/>
    <mergeCell ref="B23:C23"/>
  </mergeCells>
  <dataValidations count="1">
    <dataValidation type="list" allowBlank="1" showInputMessage="1" showErrorMessage="1" sqref="C33" xr:uid="{66FD0BB2-4490-4285-9FC1-12E2F41A9FB3}">
      <formula1>"Conservador, Moderado, Agressivo"</formula1>
    </dataValidation>
  </dataValidations>
  <pageMargins left="1" right="1" top="1" bottom="1" header="0.5" footer="0.5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7857-2E41-4AA4-A055-0F0357D44046}">
  <dimension ref="B3:E21"/>
  <sheetViews>
    <sheetView workbookViewId="0">
      <selection activeCell="F6" sqref="F6"/>
    </sheetView>
  </sheetViews>
  <sheetFormatPr defaultRowHeight="15"/>
  <cols>
    <col min="1" max="1" width="4.28515625" customWidth="1"/>
    <col min="2" max="2" width="29.5703125" bestFit="1" customWidth="1"/>
    <col min="3" max="4" width="17.140625" bestFit="1" customWidth="1"/>
  </cols>
  <sheetData>
    <row r="3" spans="2:5" ht="18.75">
      <c r="B3" s="48" t="s">
        <v>30</v>
      </c>
      <c r="C3" s="48" t="s">
        <v>17</v>
      </c>
      <c r="D3" s="48" t="s">
        <v>20</v>
      </c>
      <c r="E3" s="49" t="s">
        <v>31</v>
      </c>
    </row>
    <row r="4" spans="2:5" ht="15.75">
      <c r="B4" s="44" t="str">
        <f>C4&amp;"-"&amp;D4</f>
        <v>Conservador-Papel</v>
      </c>
      <c r="C4" s="44" t="s">
        <v>32</v>
      </c>
      <c r="D4" s="44" t="s">
        <v>23</v>
      </c>
      <c r="E4" s="46">
        <v>0.3</v>
      </c>
    </row>
    <row r="5" spans="2:5" ht="15.75">
      <c r="B5" s="44" t="str">
        <f t="shared" ref="B5:B21" si="0">C5&amp;"-"&amp;D5</f>
        <v>Conservador-Tijolo</v>
      </c>
      <c r="C5" s="44" t="s">
        <v>32</v>
      </c>
      <c r="D5" s="44" t="s">
        <v>24</v>
      </c>
      <c r="E5" s="46">
        <v>0.5</v>
      </c>
    </row>
    <row r="6" spans="2:5" ht="15.75">
      <c r="B6" s="44" t="str">
        <f t="shared" si="0"/>
        <v>Conservador-Híbridos</v>
      </c>
      <c r="C6" s="44" t="s">
        <v>32</v>
      </c>
      <c r="D6" s="44" t="s">
        <v>25</v>
      </c>
      <c r="E6" s="46">
        <v>0.1</v>
      </c>
    </row>
    <row r="7" spans="2:5" ht="15.75">
      <c r="B7" s="44" t="str">
        <f t="shared" si="0"/>
        <v>Conservador-FOF</v>
      </c>
      <c r="C7" s="44" t="s">
        <v>32</v>
      </c>
      <c r="D7" s="44" t="s">
        <v>26</v>
      </c>
      <c r="E7" s="46">
        <v>0.1</v>
      </c>
    </row>
    <row r="8" spans="2:5" ht="15.75">
      <c r="B8" s="44" t="str">
        <f t="shared" si="0"/>
        <v>Conservador-Desenvolvimento</v>
      </c>
      <c r="C8" s="44" t="s">
        <v>32</v>
      </c>
      <c r="D8" s="44" t="s">
        <v>27</v>
      </c>
      <c r="E8" s="46">
        <v>0</v>
      </c>
    </row>
    <row r="9" spans="2:5" ht="15.75">
      <c r="B9" s="45" t="str">
        <f t="shared" si="0"/>
        <v>Conservador-Hotelaria</v>
      </c>
      <c r="C9" s="45" t="s">
        <v>32</v>
      </c>
      <c r="D9" s="45" t="s">
        <v>28</v>
      </c>
      <c r="E9" s="47">
        <v>0</v>
      </c>
    </row>
    <row r="10" spans="2:5" ht="15.75">
      <c r="B10" s="44" t="str">
        <f t="shared" si="0"/>
        <v>Moderado-Papel</v>
      </c>
      <c r="C10" s="44" t="s">
        <v>33</v>
      </c>
      <c r="D10" s="44" t="s">
        <v>23</v>
      </c>
      <c r="E10" s="46">
        <v>0.32</v>
      </c>
    </row>
    <row r="11" spans="2:5" ht="15.75">
      <c r="B11" s="44" t="str">
        <f t="shared" si="0"/>
        <v>Moderado-Tijolo</v>
      </c>
      <c r="C11" s="44" t="s">
        <v>33</v>
      </c>
      <c r="D11" s="44" t="s">
        <v>24</v>
      </c>
      <c r="E11" s="46">
        <v>0.35</v>
      </c>
    </row>
    <row r="12" spans="2:5" ht="15.75">
      <c r="B12" s="44" t="str">
        <f t="shared" si="0"/>
        <v>Moderado-Híbridos</v>
      </c>
      <c r="C12" s="44" t="s">
        <v>33</v>
      </c>
      <c r="D12" s="44" t="s">
        <v>25</v>
      </c>
      <c r="E12" s="46">
        <v>0.08</v>
      </c>
    </row>
    <row r="13" spans="2:5" ht="15.75">
      <c r="B13" s="44" t="str">
        <f t="shared" si="0"/>
        <v>Moderado-FOF</v>
      </c>
      <c r="C13" s="44" t="s">
        <v>33</v>
      </c>
      <c r="D13" s="44" t="s">
        <v>26</v>
      </c>
      <c r="E13" s="46">
        <v>0.05</v>
      </c>
    </row>
    <row r="14" spans="2:5" ht="15.75">
      <c r="B14" s="44" t="str">
        <f t="shared" si="0"/>
        <v>Moderado-Desenvolvimento</v>
      </c>
      <c r="C14" s="44" t="s">
        <v>33</v>
      </c>
      <c r="D14" s="44" t="s">
        <v>27</v>
      </c>
      <c r="E14" s="46">
        <v>0.1</v>
      </c>
    </row>
    <row r="15" spans="2:5" ht="15.75">
      <c r="B15" s="45" t="str">
        <f t="shared" si="0"/>
        <v>Moderado-Hotelaria</v>
      </c>
      <c r="C15" s="45" t="s">
        <v>33</v>
      </c>
      <c r="D15" s="45" t="s">
        <v>28</v>
      </c>
      <c r="E15" s="47">
        <v>0.1</v>
      </c>
    </row>
    <row r="16" spans="2:5" ht="15.75">
      <c r="B16" s="44" t="str">
        <f t="shared" si="0"/>
        <v>Agressivo-Papel</v>
      </c>
      <c r="C16" s="44" t="s">
        <v>18</v>
      </c>
      <c r="D16" s="44" t="s">
        <v>23</v>
      </c>
      <c r="E16" s="46">
        <v>0.5</v>
      </c>
    </row>
    <row r="17" spans="2:5" ht="15.75">
      <c r="B17" s="44" t="str">
        <f t="shared" si="0"/>
        <v>Agressivo-Tijolo</v>
      </c>
      <c r="C17" s="44" t="s">
        <v>18</v>
      </c>
      <c r="D17" s="44" t="s">
        <v>24</v>
      </c>
      <c r="E17" s="46">
        <v>0.1</v>
      </c>
    </row>
    <row r="18" spans="2:5" ht="15.75">
      <c r="B18" s="44" t="str">
        <f t="shared" si="0"/>
        <v>Agressivo-Híbridos</v>
      </c>
      <c r="C18" s="44" t="s">
        <v>18</v>
      </c>
      <c r="D18" s="44" t="s">
        <v>25</v>
      </c>
      <c r="E18" s="46">
        <v>0.05</v>
      </c>
    </row>
    <row r="19" spans="2:5" ht="15.75">
      <c r="B19" s="44" t="str">
        <f t="shared" si="0"/>
        <v>Agressivo-FOF</v>
      </c>
      <c r="C19" s="44" t="s">
        <v>18</v>
      </c>
      <c r="D19" s="44" t="s">
        <v>26</v>
      </c>
      <c r="E19" s="46">
        <v>0.05</v>
      </c>
    </row>
    <row r="20" spans="2:5" ht="15.75">
      <c r="B20" s="44" t="str">
        <f t="shared" si="0"/>
        <v>Agressivo-Desenvolvimento</v>
      </c>
      <c r="C20" s="44" t="s">
        <v>18</v>
      </c>
      <c r="D20" s="44" t="s">
        <v>27</v>
      </c>
      <c r="E20" s="46">
        <v>0.2</v>
      </c>
    </row>
    <row r="21" spans="2:5" ht="15.75">
      <c r="B21" s="45" t="str">
        <f t="shared" si="0"/>
        <v>Agressivo-Hotelaria</v>
      </c>
      <c r="C21" s="45" t="s">
        <v>18</v>
      </c>
      <c r="D21" s="45" t="s">
        <v>28</v>
      </c>
      <c r="E21" s="4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2026-02-08T13:24:56Z</dcterms:created>
  <dcterms:modified xsi:type="dcterms:W3CDTF">2026-02-08T18:08:05Z</dcterms:modified>
  <cp:category/>
  <cp:contentStatus/>
</cp:coreProperties>
</file>